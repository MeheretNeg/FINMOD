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Profit_Loss" sheetId="2" r:id="rId2"/>
    <sheet name="Cash_Flow" sheetId="3" r:id="rId3"/>
    <sheet name="Revenue_Detail" sheetId="4" r:id="rId4"/>
    <sheet name="OPEX_Detail" sheetId="5" r:id="rId5"/>
    <sheet name="CAPEX_Summary" sheetId="6" r:id="rId6"/>
    <sheet name="Scenario_Comparison" sheetId="7" r:id="rId7"/>
  </sheets>
  <calcPr calcId="124519" fullCalcOnLoad="1"/>
</workbook>
</file>

<file path=xl/sharedStrings.xml><?xml version="1.0" encoding="utf-8"?>
<sst xmlns="http://schemas.openxmlformats.org/spreadsheetml/2006/main" count="107" uniqueCount="97">
  <si>
    <t>ETHIOPIAN INTERNATIONAL CHRISTIAN SCHOOL</t>
  </si>
  <si>
    <t>Financial Feasibility Study - Executive Dashboard</t>
  </si>
  <si>
    <t>Generated: October 21, 2025</t>
  </si>
  <si>
    <t>💰 INVESTMENT REQUIRED</t>
  </si>
  <si>
    <t>📊 RETURNS</t>
  </si>
  <si>
    <t>Total CAPEX</t>
  </si>
  <si>
    <t>NPV (15% discount)</t>
  </si>
  <si>
    <t>Equity (40%)</t>
  </si>
  <si>
    <t>IRR</t>
  </si>
  <si>
    <t>Debt (60%)</t>
  </si>
  <si>
    <t>Payback Period</t>
  </si>
  <si>
    <t>4.8 years</t>
  </si>
  <si>
    <t>📈 REVENUE PROJECTIONS</t>
  </si>
  <si>
    <t>💵 PROFITABILITY</t>
  </si>
  <si>
    <t>Year 1 Revenue</t>
  </si>
  <si>
    <t>Avg Operating Margin</t>
  </si>
  <si>
    <t>Year 10 Revenue</t>
  </si>
  <si>
    <t>Avg Net Margin</t>
  </si>
  <si>
    <t>10-Year Total Revenue</t>
  </si>
  <si>
    <t>Total Net Income (10Y)</t>
  </si>
  <si>
    <t>👨‍🎓 ENROLLMENT</t>
  </si>
  <si>
    <t>⚖️ BREAK-EVEN</t>
  </si>
  <si>
    <t>Year 1 Enrollment</t>
  </si>
  <si>
    <t>Break-Even Year</t>
  </si>
  <si>
    <t>2030.0</t>
  </si>
  <si>
    <t>Full Capacity</t>
  </si>
  <si>
    <t>Break-Even Enrollment</t>
  </si>
  <si>
    <t>Year 10 Enrollment</t>
  </si>
  <si>
    <t>Operating Break-Even</t>
  </si>
  <si>
    <t>2026.0</t>
  </si>
  <si>
    <t>✅ FINANCIALLY VIABLE - Strong Investment Case</t>
  </si>
  <si>
    <t>Year</t>
  </si>
  <si>
    <t>Revenue</t>
  </si>
  <si>
    <t>Net Income</t>
  </si>
  <si>
    <t>Cash Balance</t>
  </si>
  <si>
    <t>Net Cash Flow</t>
  </si>
  <si>
    <t>Enrollment</t>
  </si>
  <si>
    <t>Total_Revenue</t>
  </si>
  <si>
    <t>Operating_Expenses</t>
  </si>
  <si>
    <t>EBITDA</t>
  </si>
  <si>
    <t>Depreciation</t>
  </si>
  <si>
    <t>EBIT</t>
  </si>
  <si>
    <t>Interest_Expense</t>
  </si>
  <si>
    <t>EBT</t>
  </si>
  <si>
    <t>Tax_Expense</t>
  </si>
  <si>
    <t>Net_Income</t>
  </si>
  <si>
    <t>Operating_Margin_%</t>
  </si>
  <si>
    <t>Net_Margin_%</t>
  </si>
  <si>
    <t>Cash_from_Operations</t>
  </si>
  <si>
    <t>Cash_from_Investing</t>
  </si>
  <si>
    <t>Cash_from_Financing</t>
  </si>
  <si>
    <t>Net_Cash_Flow</t>
  </si>
  <si>
    <t>Cash_Balance</t>
  </si>
  <si>
    <t>Tuition</t>
  </si>
  <si>
    <t>Registration_Fees</t>
  </si>
  <si>
    <t>Materials_Fees</t>
  </si>
  <si>
    <t>Transportation</t>
  </si>
  <si>
    <t>Meal_Program</t>
  </si>
  <si>
    <t>Uniform_Sales</t>
  </si>
  <si>
    <t>After_School</t>
  </si>
  <si>
    <t>Total</t>
  </si>
  <si>
    <t>Staff_Compensation</t>
  </si>
  <si>
    <t>Utilities</t>
  </si>
  <si>
    <t>Maintenance</t>
  </si>
  <si>
    <t>Learning_Materials</t>
  </si>
  <si>
    <t>Administrative</t>
  </si>
  <si>
    <t>Marketing</t>
  </si>
  <si>
    <t>Professional_Development</t>
  </si>
  <si>
    <t>COGS</t>
  </si>
  <si>
    <t>Other</t>
  </si>
  <si>
    <t>Category</t>
  </si>
  <si>
    <t>Amount_ETB</t>
  </si>
  <si>
    <t>Percentage</t>
  </si>
  <si>
    <t>Land</t>
  </si>
  <si>
    <t>Construction</t>
  </si>
  <si>
    <t>Outdoor_Facilities</t>
  </si>
  <si>
    <t>Furniture_Equipment</t>
  </si>
  <si>
    <t>Technology</t>
  </si>
  <si>
    <t>Initial_Setup</t>
  </si>
  <si>
    <t>Scenario</t>
  </si>
  <si>
    <t>Description</t>
  </si>
  <si>
    <t>Total_Revenue_10Y</t>
  </si>
  <si>
    <t>Total_Net_Income_10Y</t>
  </si>
  <si>
    <t>Avg_Operating_Margin_%</t>
  </si>
  <si>
    <t>NPV</t>
  </si>
  <si>
    <t>IRR_%</t>
  </si>
  <si>
    <t>Payback_Period_Years</t>
  </si>
  <si>
    <t>Break_Even_Year</t>
  </si>
  <si>
    <t>Final_Cash_Balance</t>
  </si>
  <si>
    <t>Base_Case</t>
  </si>
  <si>
    <t>Expected case with stated assumptions</t>
  </si>
  <si>
    <t>Optimistic</t>
  </si>
  <si>
    <t>Strong market acceptance and operational efficiency</t>
  </si>
  <si>
    <t>Conservative</t>
  </si>
  <si>
    <t>Slower growth and higher costs</t>
  </si>
  <si>
    <t>Worst_Case</t>
  </si>
  <si>
    <t>Severe market challenges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</si>
</sst>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9">
    <font>
      <sz val="11"/>
      <color theme="1"/>
      <name val="Calibri"/>
      <family val="2"/>
      <scheme val="minor"/>
    </font>
    <font>
      <b/>
      <sz val="18"/>
      <color rgb="FF1F4E78"/>
      <name val="Calibri"/>
      <family val="2"/>
      <scheme val="minor"/>
    </font>
    <font>
      <i/>
      <sz val="11"/>
      <color rgb="FF44546A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1F4E78"/>
      <name val="Calibri"/>
      <family val="2"/>
      <scheme val="minor"/>
    </font>
    <font>
      <b/>
      <sz val="16"/>
      <color rgb="FF00B050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1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7E6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/>
    </xf>
    <xf numFmtId="164" fontId="4" fillId="6" borderId="1" xfId="0" applyNumberFormat="1" applyFont="1" applyFill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64" fontId="8" fillId="0" borderId="1" xfId="0" applyNumberFormat="1" applyFon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10-Year Revenue &amp; Net Income Projection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</c:v>
          </c:tx>
          <c:spPr>
            <a:solidFill>
              <a:srgbClr val="4472C4"/>
            </a:solidFill>
          </c:spPr>
          <c:cat>
            <c:numRef>
              <c:f>Dashboard!$B$43:$B$52</c:f>
              <c:numCache>
                <c:formatCode>General</c:formatCod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numCache>
            </c:numRef>
          </c:cat>
          <c:val>
            <c:numRef>
              <c:f>Dashboard!$C$43:$C$52</c:f>
              <c:numCache>
                <c:formatCode>General</c:formatCode>
                <c:ptCount val="10"/>
                <c:pt idx="0">
                  <c:v>29050000</c:v>
                </c:pt>
                <c:pt idx="1">
                  <c:v>49741150</c:v>
                </c:pt>
                <c:pt idx="2">
                  <c:v>77386444.99999999</c:v>
                </c:pt>
                <c:pt idx="3">
                  <c:v>111426637.625</c:v>
                </c:pt>
                <c:pt idx="4">
                  <c:v>140971541.88125</c:v>
                </c:pt>
                <c:pt idx="5">
                  <c:v>172560237.4590625</c:v>
                </c:pt>
                <c:pt idx="6">
                  <c:v>208786788.4589686</c:v>
                </c:pt>
                <c:pt idx="7">
                  <c:v>246231769.6984999</c:v>
                </c:pt>
                <c:pt idx="8">
                  <c:v>290445076.9848011</c:v>
                </c:pt>
                <c:pt idx="9">
                  <c:v>334433220.5946013</c:v>
                </c:pt>
              </c:numCache>
            </c:numRef>
          </c:val>
        </c:ser>
        <c:ser>
          <c:idx val="1"/>
          <c:order val="1"/>
          <c:tx>
            <c:v>Net Income</c:v>
          </c:tx>
          <c:spPr>
            <a:solidFill>
              <a:srgbClr val="70AD47"/>
            </a:solidFill>
          </c:spPr>
          <c:cat>
            <c:numRef>
              <c:f>Dashboard!$B$43:$B$52</c:f>
              <c:numCache>
                <c:formatCode>General</c:formatCod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numCache>
            </c:numRef>
          </c:cat>
          <c:val>
            <c:numRef>
              <c:f>Dashboard!$D$43:$D$52</c:f>
              <c:numCache>
                <c:formatCode>General</c:formatCode>
                <c:ptCount val="10"/>
                <c:pt idx="0">
                  <c:v>-16217920</c:v>
                </c:pt>
                <c:pt idx="1">
                  <c:v>-6812145.200000003</c:v>
                </c:pt>
                <c:pt idx="2">
                  <c:v>3252853.887199989</c:v>
                </c:pt>
                <c:pt idx="3">
                  <c:v>12747158.07647599</c:v>
                </c:pt>
                <c:pt idx="4">
                  <c:v>18822148.29854729</c:v>
                </c:pt>
                <c:pt idx="5">
                  <c:v>24799409.01981924</c:v>
                </c:pt>
                <c:pt idx="6">
                  <c:v>31989869.58677088</c:v>
                </c:pt>
                <c:pt idx="7">
                  <c:v>36844982.98139504</c:v>
                </c:pt>
                <c:pt idx="8">
                  <c:v>31671352.74591829</c:v>
                </c:pt>
                <c:pt idx="9">
                  <c:v>31896688.01193573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 (ETB)</a:t>
                </a:r>
              </a:p>
            </c:rich>
          </c:tx>
          <c:layout/>
        </c:title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Cash Flow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Cash Balance</c:v>
          </c:tx>
          <c:spPr>
            <a:ln w="31750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Dashboard!$B$63:$B$72</c:f>
              <c:numCache>
                <c:formatCode>General</c:formatCod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numCache>
            </c:numRef>
          </c:cat>
          <c:val>
            <c:numRef>
              <c:f>Dashboard!$C$63:$C$72</c:f>
              <c:numCache>
                <c:formatCode>General</c:formatCode>
                <c:ptCount val="10"/>
                <c:pt idx="0">
                  <c:v>-9797920</c:v>
                </c:pt>
                <c:pt idx="1">
                  <c:v>-20462065.2</c:v>
                </c:pt>
                <c:pt idx="2">
                  <c:v>-21061211.31280001</c:v>
                </c:pt>
                <c:pt idx="3">
                  <c:v>-12166053.23632402</c:v>
                </c:pt>
                <c:pt idx="4">
                  <c:v>2804095.062223267</c:v>
                </c:pt>
                <c:pt idx="5">
                  <c:v>23751504.0820425</c:v>
                </c:pt>
                <c:pt idx="6">
                  <c:v>51889373.66881339</c:v>
                </c:pt>
                <c:pt idx="7">
                  <c:v>84882356.65020843</c:v>
                </c:pt>
                <c:pt idx="8">
                  <c:v>112701709.3961267</c:v>
                </c:pt>
                <c:pt idx="9">
                  <c:v>140746397.4080625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Amount (ETB)</a:t>
                </a:r>
              </a:p>
            </c:rich>
          </c:tx>
          <c:layout/>
        </c:title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Student Enrollment Growth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Student Enrollment</c:v>
          </c:tx>
          <c:spPr>
            <a:solidFill>
              <a:srgbClr val="5B9BD5"/>
            </a:solidFill>
          </c:spPr>
          <c:cat>
            <c:numRef>
              <c:f>Dashboard!$B$83:$B$92</c:f>
              <c:numCache>
                <c:formatCode>General</c:formatCod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numCache>
            </c:numRef>
          </c:cat>
          <c:val>
            <c:numRef>
              <c:f>Dashboard!$C$83:$C$92</c:f>
              <c:numCache>
                <c:formatCode>General</c:formatCode>
                <c:ptCount val="10"/>
                <c:pt idx="0">
                  <c:v>176</c:v>
                </c:pt>
                <c:pt idx="1">
                  <c:v>264</c:v>
                </c:pt>
                <c:pt idx="2">
                  <c:v>353</c:v>
                </c:pt>
                <c:pt idx="3">
                  <c:v>436</c:v>
                </c:pt>
                <c:pt idx="4">
                  <c:v>481</c:v>
                </c:pt>
                <c:pt idx="5">
                  <c:v>515</c:v>
                </c:pt>
                <c:pt idx="6">
                  <c:v>537</c:v>
                </c:pt>
                <c:pt idx="7">
                  <c:v>548</c:v>
                </c:pt>
                <c:pt idx="8">
                  <c:v>560</c:v>
                </c:pt>
                <c:pt idx="9">
                  <c:v>560</c:v>
                </c:pt>
              </c:numCache>
            </c:numRef>
          </c:val>
        </c:ser>
        <c:axId val="50030001"/>
        <c:axId val="50030002"/>
      </c:area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Students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25</xdr:row>
      <xdr:rowOff>0</xdr:rowOff>
    </xdr:from>
    <xdr:to>
      <xdr:col>4</xdr:col>
      <xdr:colOff>1704975</xdr:colOff>
      <xdr:row>40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45</xdr:row>
      <xdr:rowOff>0</xdr:rowOff>
    </xdr:from>
    <xdr:to>
      <xdr:col>9</xdr:col>
      <xdr:colOff>123825</xdr:colOff>
      <xdr:row>60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45</xdr:row>
      <xdr:rowOff>0</xdr:rowOff>
    </xdr:from>
    <xdr:to>
      <xdr:col>4</xdr:col>
      <xdr:colOff>1704975</xdr:colOff>
      <xdr:row>60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F92"/>
  <sheetViews>
    <sheetView tabSelected="1" workbookViewId="0"/>
  </sheetViews>
  <sheetFormatPr defaultRowHeight="15"/>
  <cols>
    <col min="1" max="1" width="3.7109375" customWidth="1"/>
    <col min="2" max="2" width="35.7109375" customWidth="1"/>
    <col min="3" max="3" width="20.7109375" customWidth="1"/>
    <col min="4" max="4" width="3.7109375" customWidth="1"/>
    <col min="5" max="5" width="35.7109375" customWidth="1"/>
    <col min="6" max="6" width="20.7109375" customWidth="1"/>
  </cols>
  <sheetData>
    <row r="2" spans="2:6">
      <c r="B2" s="1" t="s">
        <v>0</v>
      </c>
      <c r="C2" s="1"/>
      <c r="D2" s="1"/>
      <c r="E2" s="1"/>
      <c r="F2" s="1"/>
    </row>
    <row r="3" spans="2:6">
      <c r="B3" s="2" t="s">
        <v>1</v>
      </c>
      <c r="C3" s="2"/>
      <c r="D3" s="2"/>
      <c r="E3" s="2"/>
      <c r="F3" s="2"/>
    </row>
    <row r="4" spans="2:6">
      <c r="B4" s="2" t="s">
        <v>2</v>
      </c>
    </row>
    <row r="6" spans="2:6">
      <c r="B6" s="3" t="s">
        <v>3</v>
      </c>
      <c r="C6" s="3"/>
      <c r="E6" s="3" t="s">
        <v>4</v>
      </c>
      <c r="F6" s="3"/>
    </row>
    <row r="7" spans="2:6">
      <c r="B7" s="4" t="s">
        <v>5</v>
      </c>
      <c r="C7" s="5">
        <v>128400000</v>
      </c>
      <c r="E7" s="4" t="s">
        <v>6</v>
      </c>
      <c r="F7" s="6">
        <v>46932684.14521626</v>
      </c>
    </row>
    <row r="8" spans="2:6">
      <c r="B8" s="4" t="s">
        <v>7</v>
      </c>
      <c r="C8" s="5">
        <v>51360000</v>
      </c>
      <c r="E8" s="4" t="s">
        <v>8</v>
      </c>
      <c r="F8" s="6">
        <f>45.0403421955147/100</f>
        <v>0</v>
      </c>
    </row>
    <row r="9" spans="2:6">
      <c r="B9" s="4" t="s">
        <v>9</v>
      </c>
      <c r="C9" s="5">
        <v>77040000</v>
      </c>
      <c r="E9" s="4" t="s">
        <v>10</v>
      </c>
      <c r="F9" s="5" t="s">
        <v>11</v>
      </c>
    </row>
    <row r="12" spans="2:6">
      <c r="B12" s="3" t="s">
        <v>12</v>
      </c>
      <c r="C12" s="3"/>
      <c r="E12" s="3" t="s">
        <v>13</v>
      </c>
      <c r="F12" s="3"/>
    </row>
    <row r="13" spans="2:6">
      <c r="B13" s="4" t="s">
        <v>14</v>
      </c>
      <c r="C13" s="5">
        <v>29050000</v>
      </c>
      <c r="E13" s="4" t="s">
        <v>15</v>
      </c>
      <c r="F13" s="5">
        <v>0.1516266316898718</v>
      </c>
    </row>
    <row r="14" spans="2:6">
      <c r="B14" s="4" t="s">
        <v>16</v>
      </c>
      <c r="C14" s="5">
        <v>334433220.5946013</v>
      </c>
      <c r="E14" s="4" t="s">
        <v>17</v>
      </c>
      <c r="F14" s="5">
        <v>0.02457101611875055</v>
      </c>
    </row>
    <row r="15" spans="2:6">
      <c r="B15" s="4" t="s">
        <v>18</v>
      </c>
      <c r="C15" s="5">
        <v>1661032867.702183</v>
      </c>
      <c r="E15" s="4" t="s">
        <v>19</v>
      </c>
      <c r="F15" s="5">
        <v>168994397.4080625</v>
      </c>
    </row>
    <row r="18" spans="2:6">
      <c r="B18" s="3" t="s">
        <v>20</v>
      </c>
      <c r="C18" s="3"/>
      <c r="E18" s="3" t="s">
        <v>21</v>
      </c>
      <c r="F18" s="3"/>
    </row>
    <row r="19" spans="2:6">
      <c r="B19" s="4" t="s">
        <v>22</v>
      </c>
      <c r="C19" s="5">
        <v>176</v>
      </c>
      <c r="E19" s="4" t="s">
        <v>23</v>
      </c>
      <c r="F19" s="5" t="s">
        <v>24</v>
      </c>
    </row>
    <row r="20" spans="2:6">
      <c r="B20" s="4" t="s">
        <v>25</v>
      </c>
      <c r="C20" s="5">
        <v>560</v>
      </c>
      <c r="E20" s="4" t="s">
        <v>26</v>
      </c>
      <c r="F20" s="5">
        <v>167</v>
      </c>
    </row>
    <row r="21" spans="2:6">
      <c r="B21" s="4" t="s">
        <v>27</v>
      </c>
      <c r="C21" s="5">
        <v>560</v>
      </c>
      <c r="E21" s="4" t="s">
        <v>28</v>
      </c>
      <c r="F21" s="5" t="s">
        <v>29</v>
      </c>
    </row>
    <row r="24" spans="2:6" ht="30" customHeight="1">
      <c r="B24" s="7" t="s">
        <v>30</v>
      </c>
      <c r="C24" s="7"/>
      <c r="D24" s="7"/>
      <c r="E24" s="7"/>
      <c r="F24" s="7"/>
    </row>
    <row r="42" spans="2:4">
      <c r="B42" t="s">
        <v>31</v>
      </c>
      <c r="C42" t="s">
        <v>32</v>
      </c>
      <c r="D42" t="s">
        <v>33</v>
      </c>
    </row>
    <row r="43" spans="2:4">
      <c r="B43">
        <v>2026</v>
      </c>
      <c r="C43">
        <v>29050000</v>
      </c>
      <c r="D43">
        <v>-16217920</v>
      </c>
    </row>
    <row r="44" spans="2:4">
      <c r="B44">
        <v>2027</v>
      </c>
      <c r="C44">
        <v>49741150</v>
      </c>
      <c r="D44">
        <v>-6812145.200000003</v>
      </c>
    </row>
    <row r="45" spans="2:4">
      <c r="B45">
        <v>2028</v>
      </c>
      <c r="C45">
        <v>77386444.99999999</v>
      </c>
      <c r="D45">
        <v>3252853.887199989</v>
      </c>
    </row>
    <row r="46" spans="2:4">
      <c r="B46">
        <v>2029</v>
      </c>
      <c r="C46">
        <v>111426637.625</v>
      </c>
      <c r="D46">
        <v>12747158.07647599</v>
      </c>
    </row>
    <row r="47" spans="2:4">
      <c r="B47">
        <v>2030</v>
      </c>
      <c r="C47">
        <v>140971541.88125</v>
      </c>
      <c r="D47">
        <v>18822148.29854729</v>
      </c>
    </row>
    <row r="48" spans="2:4">
      <c r="B48">
        <v>2031</v>
      </c>
      <c r="C48">
        <v>172560237.4590625</v>
      </c>
      <c r="D48">
        <v>24799409.01981924</v>
      </c>
    </row>
    <row r="49" spans="2:4">
      <c r="B49">
        <v>2032</v>
      </c>
      <c r="C49">
        <v>208786788.4589686</v>
      </c>
      <c r="D49">
        <v>31989869.58677088</v>
      </c>
    </row>
    <row r="50" spans="2:4">
      <c r="B50">
        <v>2033</v>
      </c>
      <c r="C50">
        <v>246231769.6984999</v>
      </c>
      <c r="D50">
        <v>36844982.98139504</v>
      </c>
    </row>
    <row r="51" spans="2:4">
      <c r="B51">
        <v>2034</v>
      </c>
      <c r="C51">
        <v>290445076.9848011</v>
      </c>
      <c r="D51">
        <v>31671352.74591829</v>
      </c>
    </row>
    <row r="52" spans="2:4">
      <c r="B52">
        <v>2035</v>
      </c>
      <c r="C52">
        <v>334433220.5946013</v>
      </c>
      <c r="D52">
        <v>31896688.01193573</v>
      </c>
    </row>
    <row r="62" spans="2:4">
      <c r="B62" t="s">
        <v>31</v>
      </c>
      <c r="C62" t="s">
        <v>34</v>
      </c>
      <c r="D62" t="s">
        <v>35</v>
      </c>
    </row>
    <row r="63" spans="2:4">
      <c r="B63">
        <v>2026</v>
      </c>
      <c r="C63">
        <v>-9797920</v>
      </c>
      <c r="D63">
        <v>-9797920</v>
      </c>
    </row>
    <row r="64" spans="2:4">
      <c r="B64">
        <v>2027</v>
      </c>
      <c r="C64">
        <v>-20462065.2</v>
      </c>
      <c r="D64">
        <v>-10664145.2</v>
      </c>
    </row>
    <row r="65" spans="2:4">
      <c r="B65">
        <v>2028</v>
      </c>
      <c r="C65">
        <v>-21061211.31280001</v>
      </c>
      <c r="D65">
        <v>-599146.1128000114</v>
      </c>
    </row>
    <row r="66" spans="2:4">
      <c r="B66">
        <v>2029</v>
      </c>
      <c r="C66">
        <v>-12166053.23632402</v>
      </c>
      <c r="D66">
        <v>8895158.076475989</v>
      </c>
    </row>
    <row r="67" spans="2:4">
      <c r="B67">
        <v>2030</v>
      </c>
      <c r="C67">
        <v>2804095.062223267</v>
      </c>
      <c r="D67">
        <v>14970148.29854729</v>
      </c>
    </row>
    <row r="68" spans="2:4">
      <c r="B68">
        <v>2031</v>
      </c>
      <c r="C68">
        <v>23751504.0820425</v>
      </c>
      <c r="D68">
        <v>20947409.01981924</v>
      </c>
    </row>
    <row r="69" spans="2:4">
      <c r="B69">
        <v>2032</v>
      </c>
      <c r="C69">
        <v>51889373.66881339</v>
      </c>
      <c r="D69">
        <v>28137869.58677088</v>
      </c>
    </row>
    <row r="70" spans="2:4">
      <c r="B70">
        <v>2033</v>
      </c>
      <c r="C70">
        <v>84882356.65020843</v>
      </c>
      <c r="D70">
        <v>32992982.98139504</v>
      </c>
    </row>
    <row r="71" spans="2:4">
      <c r="B71">
        <v>2034</v>
      </c>
      <c r="C71">
        <v>112701709.3961267</v>
      </c>
      <c r="D71">
        <v>27819352.74591829</v>
      </c>
    </row>
    <row r="72" spans="2:4">
      <c r="B72">
        <v>2035</v>
      </c>
      <c r="C72">
        <v>140746397.4080625</v>
      </c>
      <c r="D72">
        <v>28044688.01193573</v>
      </c>
    </row>
    <row r="82" spans="2:3">
      <c r="B82" t="s">
        <v>31</v>
      </c>
      <c r="C82" t="s">
        <v>36</v>
      </c>
    </row>
    <row r="83" spans="2:3">
      <c r="B83">
        <v>2026</v>
      </c>
      <c r="C83">
        <v>176</v>
      </c>
    </row>
    <row r="84" spans="2:3">
      <c r="B84">
        <v>2027</v>
      </c>
      <c r="C84">
        <v>264</v>
      </c>
    </row>
    <row r="85" spans="2:3">
      <c r="B85">
        <v>2028</v>
      </c>
      <c r="C85">
        <v>353</v>
      </c>
    </row>
    <row r="86" spans="2:3">
      <c r="B86">
        <v>2029</v>
      </c>
      <c r="C86">
        <v>436</v>
      </c>
    </row>
    <row r="87" spans="2:3">
      <c r="B87">
        <v>2030</v>
      </c>
      <c r="C87">
        <v>481</v>
      </c>
    </row>
    <row r="88" spans="2:3">
      <c r="B88">
        <v>2031</v>
      </c>
      <c r="C88">
        <v>515</v>
      </c>
    </row>
    <row r="89" spans="2:3">
      <c r="B89">
        <v>2032</v>
      </c>
      <c r="C89">
        <v>537</v>
      </c>
    </row>
    <row r="90" spans="2:3">
      <c r="B90">
        <v>2033</v>
      </c>
      <c r="C90">
        <v>548</v>
      </c>
    </row>
    <row r="91" spans="2:3">
      <c r="B91">
        <v>2034</v>
      </c>
      <c r="C91">
        <v>560</v>
      </c>
    </row>
    <row r="92" spans="2:3">
      <c r="B92">
        <v>2035</v>
      </c>
      <c r="C92">
        <v>560</v>
      </c>
    </row>
  </sheetData>
  <mergeCells count="9">
    <mergeCell ref="B2:F2"/>
    <mergeCell ref="B3:F3"/>
    <mergeCell ref="B6:C6"/>
    <mergeCell ref="E6:F6"/>
    <mergeCell ref="B12:C12"/>
    <mergeCell ref="E12:F12"/>
    <mergeCell ref="B18:C18"/>
    <mergeCell ref="E18:F18"/>
    <mergeCell ref="B24:F2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M12"/>
  <sheetViews>
    <sheetView workbookViewId="0"/>
  </sheetViews>
  <sheetFormatPr defaultRowHeight="15"/>
  <cols>
    <col min="2" max="2" width="12.7109375" customWidth="1"/>
    <col min="3" max="13" width="15.7109375" customWidth="1"/>
  </cols>
  <sheetData>
    <row r="2" spans="2:13">
      <c r="B2" s="8" t="s">
        <v>31</v>
      </c>
      <c r="C2" s="8" t="s">
        <v>37</v>
      </c>
      <c r="D2" s="8" t="s">
        <v>38</v>
      </c>
      <c r="E2" s="8" t="s">
        <v>39</v>
      </c>
      <c r="F2" s="8" t="s">
        <v>40</v>
      </c>
      <c r="G2" s="8" t="s">
        <v>41</v>
      </c>
      <c r="H2" s="8" t="s">
        <v>42</v>
      </c>
      <c r="I2" s="8" t="s">
        <v>43</v>
      </c>
      <c r="J2" s="8" t="s">
        <v>44</v>
      </c>
      <c r="K2" s="8" t="s">
        <v>45</v>
      </c>
      <c r="L2" s="8" t="s">
        <v>46</v>
      </c>
      <c r="M2" s="8" t="s">
        <v>47</v>
      </c>
    </row>
    <row r="3" spans="2:13">
      <c r="B3" s="9">
        <v>2026</v>
      </c>
      <c r="C3" s="10">
        <v>29050000</v>
      </c>
      <c r="D3" s="11">
        <v>28062320</v>
      </c>
      <c r="E3" s="11">
        <v>987680</v>
      </c>
      <c r="F3" s="11">
        <v>6420000</v>
      </c>
      <c r="G3" s="12">
        <v>-5432320</v>
      </c>
      <c r="H3" s="11">
        <v>10785600</v>
      </c>
      <c r="I3" s="12">
        <v>-16217920</v>
      </c>
      <c r="J3" s="11">
        <v>0</v>
      </c>
      <c r="K3" s="12">
        <v>-16217920</v>
      </c>
      <c r="L3" s="13">
        <v>-18.69989672977625</v>
      </c>
      <c r="M3" s="13">
        <v>-55.82760757314975</v>
      </c>
    </row>
    <row r="4" spans="2:13">
      <c r="B4" s="9">
        <v>2027</v>
      </c>
      <c r="C4" s="10">
        <v>49741150</v>
      </c>
      <c r="D4" s="11">
        <v>40426255.2</v>
      </c>
      <c r="E4" s="11">
        <v>9314894.799999997</v>
      </c>
      <c r="F4" s="11">
        <v>6420000</v>
      </c>
      <c r="G4" s="11">
        <v>2894894.799999997</v>
      </c>
      <c r="H4" s="11">
        <v>9707040</v>
      </c>
      <c r="I4" s="12">
        <v>-6812145.200000003</v>
      </c>
      <c r="J4" s="11">
        <v>0</v>
      </c>
      <c r="K4" s="12">
        <v>-6812145.200000003</v>
      </c>
      <c r="L4" s="13">
        <v>0.05819919322331706</v>
      </c>
      <c r="M4" s="13">
        <v>-13.69519040070445</v>
      </c>
    </row>
    <row r="5" spans="2:13">
      <c r="B5" s="9">
        <v>2028</v>
      </c>
      <c r="C5" s="10">
        <v>77386444.99999999</v>
      </c>
      <c r="D5" s="11">
        <v>57691030.87542857</v>
      </c>
      <c r="E5" s="11">
        <v>19695414.12457141</v>
      </c>
      <c r="F5" s="11">
        <v>6420000</v>
      </c>
      <c r="G5" s="11">
        <v>13275414.12457141</v>
      </c>
      <c r="H5" s="11">
        <v>8628480</v>
      </c>
      <c r="I5" s="11">
        <v>4646934.124571413</v>
      </c>
      <c r="J5" s="11">
        <v>1394080.237371424</v>
      </c>
      <c r="K5" s="11">
        <v>3252853.887199989</v>
      </c>
      <c r="L5" s="13">
        <v>0.1715470212460518</v>
      </c>
      <c r="M5" s="13">
        <v>0.04203389737311217</v>
      </c>
    </row>
    <row r="6" spans="2:13">
      <c r="B6" s="9">
        <v>2029</v>
      </c>
      <c r="C6" s="10">
        <v>111426637.625</v>
      </c>
      <c r="D6" s="11">
        <v>79246491.80146286</v>
      </c>
      <c r="E6" s="11">
        <v>32180145.82353713</v>
      </c>
      <c r="F6" s="11">
        <v>6420000</v>
      </c>
      <c r="G6" s="11">
        <v>25760145.82353713</v>
      </c>
      <c r="H6" s="11">
        <v>7549920.000000001</v>
      </c>
      <c r="I6" s="11">
        <v>18210225.82353713</v>
      </c>
      <c r="J6" s="11">
        <v>5463067.747061138</v>
      </c>
      <c r="K6" s="11">
        <v>12747158.07647599</v>
      </c>
      <c r="L6" s="13">
        <v>0.2311848079830914</v>
      </c>
      <c r="M6" s="13">
        <v>0.114399557845188</v>
      </c>
    </row>
    <row r="7" spans="2:13">
      <c r="B7" s="9">
        <v>2030</v>
      </c>
      <c r="C7" s="10">
        <v>140971541.88125</v>
      </c>
      <c r="D7" s="11">
        <v>101191398.597611</v>
      </c>
      <c r="E7" s="11">
        <v>39780143.28363898</v>
      </c>
      <c r="F7" s="11">
        <v>6420000</v>
      </c>
      <c r="G7" s="11">
        <v>33360143.28363898</v>
      </c>
      <c r="H7" s="11">
        <v>6471360.000000001</v>
      </c>
      <c r="I7" s="11">
        <v>26888783.28363898</v>
      </c>
      <c r="J7" s="11">
        <v>8066634.985091695</v>
      </c>
      <c r="K7" s="11">
        <v>18822148.29854729</v>
      </c>
      <c r="L7" s="13">
        <v>0.2366445229898991</v>
      </c>
      <c r="M7" s="13">
        <v>0.1335173613579575</v>
      </c>
    </row>
    <row r="8" spans="2:13">
      <c r="B8" s="9">
        <v>2031</v>
      </c>
      <c r="C8" s="10">
        <v>172560237.4590625</v>
      </c>
      <c r="D8" s="11">
        <v>125319710.2878921</v>
      </c>
      <c r="E8" s="11">
        <v>47240527.17117034</v>
      </c>
      <c r="F8" s="11">
        <v>6420000</v>
      </c>
      <c r="G8" s="11">
        <v>40820527.17117034</v>
      </c>
      <c r="H8" s="11">
        <v>5392800.000000001</v>
      </c>
      <c r="I8" s="11">
        <v>35427727.17117034</v>
      </c>
      <c r="J8" s="11">
        <v>10628318.1513511</v>
      </c>
      <c r="K8" s="11">
        <v>24799409.01981924</v>
      </c>
      <c r="L8" s="13">
        <v>0.2365581304954709</v>
      </c>
      <c r="M8" s="13">
        <v>0.1437145044825437</v>
      </c>
    </row>
    <row r="9" spans="2:13">
      <c r="B9" s="9">
        <v>2032</v>
      </c>
      <c r="C9" s="10">
        <v>208786788.4589686</v>
      </c>
      <c r="D9" s="11">
        <v>152352734.7635817</v>
      </c>
      <c r="E9" s="11">
        <v>56434053.69538698</v>
      </c>
      <c r="F9" s="11">
        <v>6420000</v>
      </c>
      <c r="G9" s="11">
        <v>50014053.69538698</v>
      </c>
      <c r="H9" s="11">
        <v>4314240</v>
      </c>
      <c r="I9" s="11">
        <v>45699813.69538698</v>
      </c>
      <c r="J9" s="11">
        <v>13709944.10861609</v>
      </c>
      <c r="K9" s="11">
        <v>31989869.58677088</v>
      </c>
      <c r="L9" s="13">
        <v>0.239546065460056</v>
      </c>
      <c r="M9" s="13">
        <v>0.1532178823329026</v>
      </c>
    </row>
    <row r="10" spans="2:13">
      <c r="B10" s="9">
        <v>2033</v>
      </c>
      <c r="C10" s="10">
        <v>246231769.6984999</v>
      </c>
      <c r="D10" s="11">
        <v>183940399.7250784</v>
      </c>
      <c r="E10" s="11">
        <v>62291369.97342148</v>
      </c>
      <c r="F10" s="11">
        <v>6420000</v>
      </c>
      <c r="G10" s="11">
        <v>55871369.97342148</v>
      </c>
      <c r="H10" s="11">
        <v>3235680</v>
      </c>
      <c r="I10" s="11">
        <v>52635689.97342148</v>
      </c>
      <c r="J10" s="11">
        <v>15790706.99202644</v>
      </c>
      <c r="K10" s="11">
        <v>36844982.98139504</v>
      </c>
      <c r="L10" s="13">
        <v>0.2269056102786149</v>
      </c>
      <c r="M10" s="13">
        <v>0.149635374129464</v>
      </c>
    </row>
    <row r="11" spans="2:13">
      <c r="B11" s="9">
        <v>2034</v>
      </c>
      <c r="C11" s="10">
        <v>290445076.9848011</v>
      </c>
      <c r="D11" s="11">
        <v>236623167.3477749</v>
      </c>
      <c r="E11" s="11">
        <v>53821909.63702613</v>
      </c>
      <c r="F11" s="11">
        <v>6420000</v>
      </c>
      <c r="G11" s="11">
        <v>47401909.63702613</v>
      </c>
      <c r="H11" s="11">
        <v>2157120</v>
      </c>
      <c r="I11" s="11">
        <v>45244789.63702613</v>
      </c>
      <c r="J11" s="11">
        <v>13573436.89110784</v>
      </c>
      <c r="K11" s="11">
        <v>31671352.74591829</v>
      </c>
      <c r="L11" s="13">
        <v>0.1632043831801861</v>
      </c>
      <c r="M11" s="13">
        <v>0.1090442057917052</v>
      </c>
    </row>
    <row r="12" spans="2:13">
      <c r="B12" s="9">
        <v>2035</v>
      </c>
      <c r="C12" s="10">
        <v>334433220.5946013</v>
      </c>
      <c r="D12" s="11">
        <v>281367963.4346931</v>
      </c>
      <c r="E12" s="11">
        <v>53065257.15990818</v>
      </c>
      <c r="F12" s="11">
        <v>6420000</v>
      </c>
      <c r="G12" s="11">
        <v>46645257.15990818</v>
      </c>
      <c r="H12" s="11">
        <v>1078560</v>
      </c>
      <c r="I12" s="11">
        <v>45566697.15990818</v>
      </c>
      <c r="J12" s="11">
        <v>13670009.14797245</v>
      </c>
      <c r="K12" s="11">
        <v>31896688.01193573</v>
      </c>
      <c r="L12" s="13">
        <v>0.139475549339793</v>
      </c>
      <c r="M12" s="13">
        <v>0.09537535761317435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G12"/>
  <sheetViews>
    <sheetView workbookViewId="0"/>
  </sheetViews>
  <sheetFormatPr defaultRowHeight="15"/>
  <cols>
    <col min="2" max="2" width="12.7109375" customWidth="1"/>
    <col min="3" max="7" width="18.7109375" customWidth="1"/>
  </cols>
  <sheetData>
    <row r="2" spans="2:7">
      <c r="B2" s="8" t="s">
        <v>31</v>
      </c>
      <c r="C2" s="8" t="s">
        <v>48</v>
      </c>
      <c r="D2" s="8" t="s">
        <v>49</v>
      </c>
      <c r="E2" s="8" t="s">
        <v>50</v>
      </c>
      <c r="F2" s="8" t="s">
        <v>51</v>
      </c>
      <c r="G2" s="8" t="s">
        <v>52</v>
      </c>
    </row>
    <row r="3" spans="2:7">
      <c r="B3" s="9">
        <v>2026</v>
      </c>
      <c r="C3" s="12">
        <v>-9797920.000000002</v>
      </c>
      <c r="D3" s="12">
        <v>-128400000</v>
      </c>
      <c r="E3" s="11">
        <v>128400000</v>
      </c>
      <c r="F3" s="12">
        <v>-9797920</v>
      </c>
      <c r="G3" s="10">
        <v>-9797920</v>
      </c>
    </row>
    <row r="4" spans="2:7">
      <c r="B4" s="9">
        <v>2027</v>
      </c>
      <c r="C4" s="12">
        <v>-392145.200000003</v>
      </c>
      <c r="D4" s="12">
        <v>-2568000</v>
      </c>
      <c r="E4" s="12">
        <v>-7704000</v>
      </c>
      <c r="F4" s="12">
        <v>-10664145.2</v>
      </c>
      <c r="G4" s="10">
        <v>-20462065.2</v>
      </c>
    </row>
    <row r="5" spans="2:7">
      <c r="B5" s="9">
        <v>2028</v>
      </c>
      <c r="C5" s="11">
        <v>9672853.887199989</v>
      </c>
      <c r="D5" s="12">
        <v>-2568000</v>
      </c>
      <c r="E5" s="12">
        <v>-7704000</v>
      </c>
      <c r="F5" s="12">
        <v>-599146.1128000114</v>
      </c>
      <c r="G5" s="10">
        <v>-21061211.31280001</v>
      </c>
    </row>
    <row r="6" spans="2:7">
      <c r="B6" s="9">
        <v>2029</v>
      </c>
      <c r="C6" s="11">
        <v>19167158.07647599</v>
      </c>
      <c r="D6" s="12">
        <v>-2568000</v>
      </c>
      <c r="E6" s="12">
        <v>-7704000</v>
      </c>
      <c r="F6" s="11">
        <v>8895158.076475989</v>
      </c>
      <c r="G6" s="10">
        <v>-12166053.23632402</v>
      </c>
    </row>
    <row r="7" spans="2:7">
      <c r="B7" s="9">
        <v>2030</v>
      </c>
      <c r="C7" s="11">
        <v>25242148.29854729</v>
      </c>
      <c r="D7" s="12">
        <v>-2568000</v>
      </c>
      <c r="E7" s="12">
        <v>-7704000</v>
      </c>
      <c r="F7" s="11">
        <v>14970148.29854729</v>
      </c>
      <c r="G7" s="10">
        <v>2804095.062223267</v>
      </c>
    </row>
    <row r="8" spans="2:7">
      <c r="B8" s="9">
        <v>2031</v>
      </c>
      <c r="C8" s="11">
        <v>31219409.01981924</v>
      </c>
      <c r="D8" s="12">
        <v>-2568000</v>
      </c>
      <c r="E8" s="12">
        <v>-7704000</v>
      </c>
      <c r="F8" s="11">
        <v>20947409.01981924</v>
      </c>
      <c r="G8" s="10">
        <v>23751504.0820425</v>
      </c>
    </row>
    <row r="9" spans="2:7">
      <c r="B9" s="9">
        <v>2032</v>
      </c>
      <c r="C9" s="11">
        <v>38409869.58677088</v>
      </c>
      <c r="D9" s="12">
        <v>-2568000</v>
      </c>
      <c r="E9" s="12">
        <v>-7704000</v>
      </c>
      <c r="F9" s="11">
        <v>28137869.58677088</v>
      </c>
      <c r="G9" s="10">
        <v>51889373.66881339</v>
      </c>
    </row>
    <row r="10" spans="2:7">
      <c r="B10" s="9">
        <v>2033</v>
      </c>
      <c r="C10" s="11">
        <v>43264982.98139504</v>
      </c>
      <c r="D10" s="12">
        <v>-2568000</v>
      </c>
      <c r="E10" s="12">
        <v>-7704000</v>
      </c>
      <c r="F10" s="11">
        <v>32992982.98139504</v>
      </c>
      <c r="G10" s="10">
        <v>84882356.65020843</v>
      </c>
    </row>
    <row r="11" spans="2:7">
      <c r="B11" s="9">
        <v>2034</v>
      </c>
      <c r="C11" s="11">
        <v>38091352.74591829</v>
      </c>
      <c r="D11" s="12">
        <v>-2568000</v>
      </c>
      <c r="E11" s="12">
        <v>-7704000</v>
      </c>
      <c r="F11" s="11">
        <v>27819352.74591829</v>
      </c>
      <c r="G11" s="10">
        <v>112701709.3961267</v>
      </c>
    </row>
    <row r="12" spans="2:7">
      <c r="B12" s="9">
        <v>2035</v>
      </c>
      <c r="C12" s="11">
        <v>38316688.01193573</v>
      </c>
      <c r="D12" s="12">
        <v>-2568000</v>
      </c>
      <c r="E12" s="12">
        <v>-7704000</v>
      </c>
      <c r="F12" s="11">
        <v>28044688.01193573</v>
      </c>
      <c r="G12" s="10">
        <v>140746397.4080625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2:K12"/>
  <sheetViews>
    <sheetView workbookViewId="0"/>
  </sheetViews>
  <sheetFormatPr defaultRowHeight="15"/>
  <cols>
    <col min="2" max="2" width="12.7109375" customWidth="1"/>
    <col min="3" max="11" width="16.7109375" customWidth="1"/>
  </cols>
  <sheetData>
    <row r="2" spans="2:11">
      <c r="B2" s="8" t="s">
        <v>31</v>
      </c>
      <c r="C2" s="8" t="s">
        <v>36</v>
      </c>
      <c r="D2" s="8" t="s">
        <v>53</v>
      </c>
      <c r="E2" s="8" t="s">
        <v>54</v>
      </c>
      <c r="F2" s="8" t="s">
        <v>55</v>
      </c>
      <c r="G2" s="8" t="s">
        <v>56</v>
      </c>
      <c r="H2" s="8" t="s">
        <v>57</v>
      </c>
      <c r="I2" s="8" t="s">
        <v>58</v>
      </c>
      <c r="J2" s="8" t="s">
        <v>59</v>
      </c>
      <c r="K2" s="8" t="s">
        <v>60</v>
      </c>
    </row>
    <row r="3" spans="2:11">
      <c r="B3" s="9">
        <v>2026</v>
      </c>
      <c r="C3" s="11">
        <v>176</v>
      </c>
      <c r="D3" s="11">
        <v>18000000</v>
      </c>
      <c r="E3" s="11">
        <v>880000</v>
      </c>
      <c r="F3" s="11">
        <v>3344000</v>
      </c>
      <c r="G3" s="11">
        <v>2850000</v>
      </c>
      <c r="H3" s="11">
        <v>2520000</v>
      </c>
      <c r="I3" s="11">
        <v>616000</v>
      </c>
      <c r="J3" s="11">
        <v>840000</v>
      </c>
      <c r="K3" s="10">
        <v>29050000</v>
      </c>
    </row>
    <row r="4" spans="2:11">
      <c r="B4" s="9">
        <v>2027</v>
      </c>
      <c r="C4" s="11">
        <v>264</v>
      </c>
      <c r="D4" s="11">
        <v>31751500</v>
      </c>
      <c r="E4" s="11">
        <v>379500</v>
      </c>
      <c r="F4" s="11">
        <v>5768400</v>
      </c>
      <c r="G4" s="11">
        <v>4916249.999999999</v>
      </c>
      <c r="H4" s="11">
        <v>4367700</v>
      </c>
      <c r="I4" s="11">
        <v>1108800</v>
      </c>
      <c r="J4" s="11">
        <v>1449000</v>
      </c>
      <c r="K4" s="10">
        <v>49741150</v>
      </c>
    </row>
    <row r="5" spans="2:11">
      <c r="B5" s="9">
        <v>2028</v>
      </c>
      <c r="C5" s="11">
        <v>353</v>
      </c>
      <c r="D5" s="11">
        <v>49633424.99999999</v>
      </c>
      <c r="E5" s="11">
        <v>581899.9999999999</v>
      </c>
      <c r="F5" s="11">
        <v>8870007.499999998</v>
      </c>
      <c r="G5" s="11">
        <v>7571312.499999998</v>
      </c>
      <c r="H5" s="11">
        <v>6713009.999999999</v>
      </c>
      <c r="I5" s="11">
        <v>1779120</v>
      </c>
      <c r="J5" s="11">
        <v>2237670</v>
      </c>
      <c r="K5" s="10">
        <v>77386444.99999999</v>
      </c>
    </row>
    <row r="6" spans="2:11">
      <c r="B6" s="9">
        <v>2029</v>
      </c>
      <c r="C6" s="11">
        <v>436</v>
      </c>
      <c r="D6" s="11">
        <v>71899365.62499999</v>
      </c>
      <c r="E6" s="11">
        <v>828876.8749999999</v>
      </c>
      <c r="F6" s="11">
        <v>12598928.5</v>
      </c>
      <c r="G6" s="11">
        <v>10760190.625</v>
      </c>
      <c r="H6" s="11">
        <v>9526760.999999998</v>
      </c>
      <c r="I6" s="11">
        <v>2636928</v>
      </c>
      <c r="J6" s="11">
        <v>3175587</v>
      </c>
      <c r="K6" s="10">
        <v>111426637.625</v>
      </c>
    </row>
    <row r="7" spans="2:11">
      <c r="B7" s="9">
        <v>2030</v>
      </c>
      <c r="C7" s="11">
        <v>481</v>
      </c>
      <c r="D7" s="11">
        <v>90685974.06249999</v>
      </c>
      <c r="E7" s="11">
        <v>1049403.75</v>
      </c>
      <c r="F7" s="11">
        <v>15984168.11874999</v>
      </c>
      <c r="G7" s="11">
        <v>13642248.75</v>
      </c>
      <c r="H7" s="11">
        <v>12089131.2</v>
      </c>
      <c r="I7" s="11">
        <v>3490905.6</v>
      </c>
      <c r="J7" s="11">
        <v>4029710.399999999</v>
      </c>
      <c r="K7" s="10">
        <v>140971541.88125</v>
      </c>
    </row>
    <row r="8" spans="2:11">
      <c r="B8" s="9">
        <v>2031</v>
      </c>
      <c r="C8" s="11">
        <v>515</v>
      </c>
      <c r="D8" s="11">
        <v>110423509.59375</v>
      </c>
      <c r="E8" s="11">
        <v>1287268.6</v>
      </c>
      <c r="F8" s="11">
        <v>19681130.07968749</v>
      </c>
      <c r="G8" s="11">
        <v>16794832.515625</v>
      </c>
      <c r="H8" s="11">
        <v>14916224.90249999</v>
      </c>
      <c r="I8" s="11">
        <v>4485196.799999999</v>
      </c>
      <c r="J8" s="11">
        <v>4972074.967499998</v>
      </c>
      <c r="K8" s="10">
        <v>172560237.4590625</v>
      </c>
    </row>
    <row r="9" spans="2:11">
      <c r="B9" s="9">
        <v>2032</v>
      </c>
      <c r="C9" s="11">
        <v>537</v>
      </c>
      <c r="D9" s="11">
        <v>134041871.3679687</v>
      </c>
      <c r="E9" s="11">
        <v>1549750.712968749</v>
      </c>
      <c r="F9" s="11">
        <v>23600158.99167186</v>
      </c>
      <c r="G9" s="11">
        <v>20181455.18007812</v>
      </c>
      <c r="H9" s="11">
        <v>17861455.23215624</v>
      </c>
      <c r="I9" s="11">
        <v>5612156.927999998</v>
      </c>
      <c r="J9" s="11">
        <v>5939940.046124998</v>
      </c>
      <c r="K9" s="10">
        <v>208786788.4589686</v>
      </c>
    </row>
    <row r="10" spans="2:11">
      <c r="B10" s="9">
        <v>2033</v>
      </c>
      <c r="C10" s="11">
        <v>548</v>
      </c>
      <c r="D10" s="11">
        <v>158204682.3908789</v>
      </c>
      <c r="E10" s="11">
        <v>1822113.618121093</v>
      </c>
      <c r="F10" s="11">
        <v>27696126.99544061</v>
      </c>
      <c r="G10" s="11">
        <v>23674176.93617186</v>
      </c>
      <c r="H10" s="11">
        <v>20971596.73761562</v>
      </c>
      <c r="I10" s="11">
        <v>6872540.774399999</v>
      </c>
      <c r="J10" s="11">
        <v>6990532.245871872</v>
      </c>
      <c r="K10" s="10">
        <v>246231769.6984999</v>
      </c>
    </row>
    <row r="11" spans="2:11">
      <c r="B11" s="9">
        <v>2034</v>
      </c>
      <c r="C11" s="11">
        <v>560</v>
      </c>
      <c r="D11" s="11">
        <v>186600394.6148827</v>
      </c>
      <c r="E11" s="11">
        <v>2141316.003777342</v>
      </c>
      <c r="F11" s="11">
        <v>32548003.2574156</v>
      </c>
      <c r="G11" s="11">
        <v>27837108.04910545</v>
      </c>
      <c r="H11" s="11">
        <v>24667960.36351499</v>
      </c>
      <c r="I11" s="11">
        <v>8427641.241599998</v>
      </c>
      <c r="J11" s="11">
        <v>8222653.454504996</v>
      </c>
      <c r="K11" s="10">
        <v>290445076.9848011</v>
      </c>
    </row>
    <row r="12" spans="2:11">
      <c r="B12" s="9">
        <v>2035</v>
      </c>
      <c r="C12" s="11">
        <v>560</v>
      </c>
      <c r="D12" s="11">
        <v>214590453.8071151</v>
      </c>
      <c r="E12" s="11">
        <v>2462513.404343944</v>
      </c>
      <c r="F12" s="11">
        <v>37430203.74602794</v>
      </c>
      <c r="G12" s="11">
        <v>32012674.25647127</v>
      </c>
      <c r="H12" s="11">
        <v>28368154.41804223</v>
      </c>
      <c r="I12" s="11">
        <v>10113169.48992</v>
      </c>
      <c r="J12" s="11">
        <v>9456051.472680744</v>
      </c>
      <c r="K12" s="10">
        <v>334433220.5946013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M12"/>
  <sheetViews>
    <sheetView workbookViewId="0"/>
  </sheetViews>
  <sheetFormatPr defaultRowHeight="15"/>
  <cols>
    <col min="2" max="2" width="12.7109375" customWidth="1"/>
    <col min="3" max="12" width="16.7109375" customWidth="1"/>
  </cols>
  <sheetData>
    <row r="2" spans="2:13">
      <c r="B2" s="8" t="s">
        <v>31</v>
      </c>
      <c r="C2" s="8" t="s">
        <v>36</v>
      </c>
      <c r="D2" s="8" t="s">
        <v>61</v>
      </c>
      <c r="E2" s="8" t="s">
        <v>62</v>
      </c>
      <c r="F2" s="8" t="s">
        <v>63</v>
      </c>
      <c r="G2" s="8" t="s">
        <v>64</v>
      </c>
      <c r="H2" s="8" t="s">
        <v>65</v>
      </c>
      <c r="I2" s="8" t="s">
        <v>66</v>
      </c>
      <c r="J2" s="8" t="s">
        <v>67</v>
      </c>
      <c r="K2" s="8" t="s">
        <v>68</v>
      </c>
      <c r="L2" s="8" t="s">
        <v>69</v>
      </c>
      <c r="M2" s="8" t="s">
        <v>60</v>
      </c>
    </row>
    <row r="3" spans="2:13">
      <c r="B3" s="9">
        <v>2026</v>
      </c>
      <c r="C3" s="11">
        <v>176</v>
      </c>
      <c r="D3" s="11">
        <v>13456320</v>
      </c>
      <c r="E3" s="11">
        <v>1620000</v>
      </c>
      <c r="F3" s="11">
        <v>1750000</v>
      </c>
      <c r="G3" s="11">
        <v>2080000</v>
      </c>
      <c r="H3" s="11">
        <v>1600000</v>
      </c>
      <c r="I3" s="11">
        <v>1800000</v>
      </c>
      <c r="J3" s="11">
        <v>900000</v>
      </c>
      <c r="K3" s="11">
        <v>3656000</v>
      </c>
      <c r="L3" s="11">
        <v>1200000</v>
      </c>
      <c r="M3" s="10">
        <v>28062320</v>
      </c>
    </row>
    <row r="4" spans="2:13">
      <c r="B4" s="9">
        <v>2027</v>
      </c>
      <c r="C4" s="11">
        <v>264</v>
      </c>
      <c r="D4" s="11">
        <v>20163415.2</v>
      </c>
      <c r="E4" s="11">
        <v>1944000</v>
      </c>
      <c r="F4" s="11">
        <v>2100000</v>
      </c>
      <c r="G4" s="11">
        <v>3024000</v>
      </c>
      <c r="H4" s="11">
        <v>1920000</v>
      </c>
      <c r="I4" s="11">
        <v>2160000</v>
      </c>
      <c r="J4" s="11">
        <v>1080000</v>
      </c>
      <c r="K4" s="11">
        <v>6594840</v>
      </c>
      <c r="L4" s="11">
        <v>1440000</v>
      </c>
      <c r="M4" s="10">
        <v>40426255.2</v>
      </c>
    </row>
    <row r="5" spans="2:13">
      <c r="B5" s="9">
        <v>2028</v>
      </c>
      <c r="C5" s="11">
        <v>353</v>
      </c>
      <c r="D5" s="11">
        <v>29943506.304</v>
      </c>
      <c r="E5" s="11">
        <v>2450828.571428571</v>
      </c>
      <c r="F5" s="11">
        <v>2520000</v>
      </c>
      <c r="G5" s="11">
        <v>4269600</v>
      </c>
      <c r="H5" s="11">
        <v>2304000</v>
      </c>
      <c r="I5" s="11">
        <v>2592000</v>
      </c>
      <c r="J5" s="11">
        <v>1296000</v>
      </c>
      <c r="K5" s="11">
        <v>10587096</v>
      </c>
      <c r="L5" s="11">
        <v>1728000</v>
      </c>
      <c r="M5" s="10">
        <v>57691030.87542857</v>
      </c>
    </row>
    <row r="6" spans="2:13">
      <c r="B6" s="9">
        <v>2029</v>
      </c>
      <c r="C6" s="11">
        <v>436</v>
      </c>
      <c r="D6" s="11">
        <v>42177880.14432</v>
      </c>
      <c r="E6" s="11">
        <v>3632502.857142856</v>
      </c>
      <c r="F6" s="11">
        <v>3024000</v>
      </c>
      <c r="G6" s="11">
        <v>5840639.999999999</v>
      </c>
      <c r="H6" s="11">
        <v>2764800</v>
      </c>
      <c r="I6" s="11">
        <v>2488320</v>
      </c>
      <c r="J6" s="11">
        <v>1555200</v>
      </c>
      <c r="K6" s="11">
        <v>15689548.8</v>
      </c>
      <c r="L6" s="11">
        <v>2073600</v>
      </c>
      <c r="M6" s="10">
        <v>79246491.80146286</v>
      </c>
    </row>
    <row r="7" spans="2:13">
      <c r="B7" s="9">
        <v>2030</v>
      </c>
      <c r="C7" s="11">
        <v>481</v>
      </c>
      <c r="D7" s="11">
        <v>53853895.14618241</v>
      </c>
      <c r="E7" s="11">
        <v>4808900.571428571</v>
      </c>
      <c r="F7" s="11">
        <v>3628800</v>
      </c>
      <c r="G7" s="11">
        <v>7475328</v>
      </c>
      <c r="H7" s="11">
        <v>3317760</v>
      </c>
      <c r="I7" s="11">
        <v>2985984</v>
      </c>
      <c r="J7" s="11">
        <v>1866240</v>
      </c>
      <c r="K7" s="11">
        <v>20766170.88</v>
      </c>
      <c r="L7" s="11">
        <v>2488320</v>
      </c>
      <c r="M7" s="10">
        <v>101191398.597611</v>
      </c>
    </row>
    <row r="8" spans="2:13">
      <c r="B8" s="9">
        <v>2031</v>
      </c>
      <c r="C8" s="11">
        <v>515</v>
      </c>
      <c r="D8" s="11">
        <v>66496607.53132069</v>
      </c>
      <c r="E8" s="11">
        <v>6178587.428571427</v>
      </c>
      <c r="F8" s="11">
        <v>4354559.999999999</v>
      </c>
      <c r="G8" s="11">
        <v>9393407.999999998</v>
      </c>
      <c r="H8" s="11">
        <v>3981311.999999999</v>
      </c>
      <c r="I8" s="11">
        <v>2985984</v>
      </c>
      <c r="J8" s="11">
        <v>2239488</v>
      </c>
      <c r="K8" s="11">
        <v>26703779.32799999</v>
      </c>
      <c r="L8" s="11">
        <v>2985984</v>
      </c>
      <c r="M8" s="10">
        <v>125319710.2878921</v>
      </c>
    </row>
    <row r="9" spans="2:13">
      <c r="B9" s="9">
        <v>2032</v>
      </c>
      <c r="C9" s="11">
        <v>537</v>
      </c>
      <c r="D9" s="11">
        <v>79739106.62552454</v>
      </c>
      <c r="E9" s="11">
        <v>7731032.502857141</v>
      </c>
      <c r="F9" s="11">
        <v>5225471.999999999</v>
      </c>
      <c r="G9" s="11">
        <v>11600547.84</v>
      </c>
      <c r="H9" s="11">
        <v>4777574.399999999</v>
      </c>
      <c r="I9" s="11">
        <v>3583180.799999999</v>
      </c>
      <c r="J9" s="11">
        <v>2687385.599999999</v>
      </c>
      <c r="K9" s="11">
        <v>33425254.19519999</v>
      </c>
      <c r="L9" s="11">
        <v>3583180.799999999</v>
      </c>
      <c r="M9" s="10">
        <v>152352734.7635817</v>
      </c>
    </row>
    <row r="10" spans="2:13">
      <c r="B10" s="9">
        <v>2033</v>
      </c>
      <c r="C10" s="11">
        <v>548</v>
      </c>
      <c r="D10" s="11">
        <v>95594415.30962697</v>
      </c>
      <c r="E10" s="11">
        <v>9467275.556571426</v>
      </c>
      <c r="F10" s="11">
        <v>6270566.399999999</v>
      </c>
      <c r="G10" s="11">
        <v>14117732.352</v>
      </c>
      <c r="H10" s="11">
        <v>5733089.279999998</v>
      </c>
      <c r="I10" s="11">
        <v>4299816.959999999</v>
      </c>
      <c r="J10" s="11">
        <v>3224862.719999999</v>
      </c>
      <c r="K10" s="11">
        <v>40932824.18687999</v>
      </c>
      <c r="L10" s="11">
        <v>4299816.959999999</v>
      </c>
      <c r="M10" s="10">
        <v>183940399.7250784</v>
      </c>
    </row>
    <row r="11" spans="2:13">
      <c r="B11" s="9">
        <v>2034</v>
      </c>
      <c r="C11" s="11">
        <v>560</v>
      </c>
      <c r="D11" s="11">
        <v>128991869.1318389</v>
      </c>
      <c r="E11" s="11">
        <v>11609505.792</v>
      </c>
      <c r="F11" s="11">
        <v>7524679.679999997</v>
      </c>
      <c r="G11" s="11">
        <v>17199267.83999999</v>
      </c>
      <c r="H11" s="11">
        <v>6879707.135999997</v>
      </c>
      <c r="I11" s="11">
        <v>5159780.351999998</v>
      </c>
      <c r="J11" s="11">
        <v>3869835.263999999</v>
      </c>
      <c r="K11" s="11">
        <v>50228741.79993598</v>
      </c>
      <c r="L11" s="11">
        <v>5159780.351999998</v>
      </c>
      <c r="M11" s="10">
        <v>236623167.3477749</v>
      </c>
    </row>
    <row r="12" spans="2:13">
      <c r="B12" s="9">
        <v>2035</v>
      </c>
      <c r="C12" s="11">
        <v>560</v>
      </c>
      <c r="D12" s="11">
        <v>152210405.5755699</v>
      </c>
      <c r="E12" s="11">
        <v>13931406.95039999</v>
      </c>
      <c r="F12" s="11">
        <v>9029615.615999997</v>
      </c>
      <c r="G12" s="11">
        <v>20639121.40799999</v>
      </c>
      <c r="H12" s="11">
        <v>8255648.563199998</v>
      </c>
      <c r="I12" s="11">
        <v>6191736.422399999</v>
      </c>
      <c r="J12" s="11">
        <v>4643802.316799998</v>
      </c>
      <c r="K12" s="11">
        <v>60274490.15992318</v>
      </c>
      <c r="L12" s="11">
        <v>6191736.422399999</v>
      </c>
      <c r="M12" s="10">
        <v>281367963.4346931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2:D9"/>
  <sheetViews>
    <sheetView workbookViewId="0"/>
  </sheetViews>
  <sheetFormatPr defaultRowHeight="15"/>
  <cols>
    <col min="2" max="2" width="30.7109375" customWidth="1"/>
    <col min="3" max="4" width="18.7109375" customWidth="1"/>
  </cols>
  <sheetData>
    <row r="2" spans="2:4">
      <c r="B2" s="8" t="s">
        <v>70</v>
      </c>
      <c r="C2" s="8" t="s">
        <v>71</v>
      </c>
      <c r="D2" s="8" t="s">
        <v>72</v>
      </c>
    </row>
    <row r="3" spans="2:4">
      <c r="B3" s="9" t="s">
        <v>73</v>
      </c>
      <c r="C3" s="11">
        <v>0</v>
      </c>
      <c r="D3" s="10">
        <v>0</v>
      </c>
    </row>
    <row r="4" spans="2:4">
      <c r="B4" s="9" t="s">
        <v>74</v>
      </c>
      <c r="C4" s="11">
        <v>105000000</v>
      </c>
      <c r="D4" s="10">
        <v>81.78</v>
      </c>
    </row>
    <row r="5" spans="2:4">
      <c r="B5" s="9" t="s">
        <v>75</v>
      </c>
      <c r="C5" s="11">
        <v>3400000</v>
      </c>
      <c r="D5" s="10">
        <v>2.65</v>
      </c>
    </row>
    <row r="6" spans="2:4">
      <c r="B6" s="9" t="s">
        <v>76</v>
      </c>
      <c r="C6" s="11">
        <v>7200000</v>
      </c>
      <c r="D6" s="10">
        <v>5.61</v>
      </c>
    </row>
    <row r="7" spans="2:4">
      <c r="B7" s="9" t="s">
        <v>77</v>
      </c>
      <c r="C7" s="11">
        <v>8200000</v>
      </c>
      <c r="D7" s="10">
        <v>6.39</v>
      </c>
    </row>
    <row r="8" spans="2:4">
      <c r="B8" s="9" t="s">
        <v>78</v>
      </c>
      <c r="C8" s="11">
        <v>4600000</v>
      </c>
      <c r="D8" s="10">
        <v>3.58</v>
      </c>
    </row>
    <row r="9" spans="2:4">
      <c r="B9" s="9" t="s">
        <v>60</v>
      </c>
      <c r="C9" s="11">
        <v>128400000</v>
      </c>
      <c r="D9" s="10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2:K6"/>
  <sheetViews>
    <sheetView workbookViewId="0"/>
  </sheetViews>
  <sheetFormatPr defaultRowHeight="15"/>
  <cols>
    <col min="2" max="3" width="25.7109375" customWidth="1"/>
    <col min="4" max="11" width="16.7109375" customWidth="1"/>
  </cols>
  <sheetData>
    <row r="2" spans="2:11">
      <c r="B2" s="8" t="s">
        <v>79</v>
      </c>
      <c r="C2" s="8" t="s">
        <v>80</v>
      </c>
      <c r="D2" s="8" t="s">
        <v>81</v>
      </c>
      <c r="E2" s="8" t="s">
        <v>82</v>
      </c>
      <c r="F2" s="8" t="s">
        <v>83</v>
      </c>
      <c r="G2" s="8" t="s">
        <v>84</v>
      </c>
      <c r="H2" s="8" t="s">
        <v>85</v>
      </c>
      <c r="I2" s="8" t="s">
        <v>86</v>
      </c>
      <c r="J2" s="8" t="s">
        <v>87</v>
      </c>
      <c r="K2" s="8" t="s">
        <v>88</v>
      </c>
    </row>
    <row r="3" spans="2:11">
      <c r="B3" s="9" t="s">
        <v>89</v>
      </c>
      <c r="C3" s="14" t="s">
        <v>90</v>
      </c>
      <c r="D3" s="10">
        <v>1661032867.702183</v>
      </c>
      <c r="E3" s="10">
        <v>168994397.4080625</v>
      </c>
      <c r="F3" s="13">
        <v>0.1516266316898718</v>
      </c>
      <c r="G3" s="11">
        <v>46932684.14521626</v>
      </c>
      <c r="H3" s="13">
        <v>0.450403421955147</v>
      </c>
      <c r="I3" s="11">
        <v>4.812687556175019</v>
      </c>
      <c r="J3" s="11">
        <v>2030</v>
      </c>
      <c r="K3" s="10">
        <v>140746397.4080625</v>
      </c>
    </row>
    <row r="4" spans="2:11">
      <c r="B4" s="9" t="s">
        <v>91</v>
      </c>
      <c r="C4" s="14" t="s">
        <v>92</v>
      </c>
      <c r="D4" s="10">
        <v>2096337702.606498</v>
      </c>
      <c r="E4" s="10">
        <v>425475645.8310499</v>
      </c>
      <c r="F4" s="13">
        <v>0.2925730688635644</v>
      </c>
      <c r="G4" s="11">
        <v>163167240.1454786</v>
      </c>
      <c r="H4" s="13">
        <v>1.858681094300774</v>
      </c>
      <c r="I4" s="11">
        <v>2.369215163774934</v>
      </c>
      <c r="J4" s="11">
        <v>2028</v>
      </c>
      <c r="K4" s="10">
        <v>397227645.8310499</v>
      </c>
    </row>
    <row r="5" spans="2:11">
      <c r="B5" s="9" t="s">
        <v>93</v>
      </c>
      <c r="C5" s="14" t="s">
        <v>94</v>
      </c>
      <c r="D5" s="10">
        <v>1192828751.682452</v>
      </c>
      <c r="E5" s="10">
        <v>-172505707.287883</v>
      </c>
      <c r="F5" s="13">
        <v>-18.01132809031935</v>
      </c>
      <c r="G5" s="12">
        <v>-116183072.5048813</v>
      </c>
      <c r="H5" s="13">
        <v>0</v>
      </c>
      <c r="I5" s="11">
        <v>999</v>
      </c>
      <c r="J5" s="11">
        <v>0</v>
      </c>
      <c r="K5" s="10">
        <v>-200753707.287883</v>
      </c>
    </row>
    <row r="6" spans="2:11">
      <c r="B6" s="9" t="s">
        <v>95</v>
      </c>
      <c r="C6" s="14" t="s">
        <v>96</v>
      </c>
      <c r="D6" s="10">
        <v>915051325.7365603</v>
      </c>
      <c r="E6" s="10">
        <v>-381411502.5234621</v>
      </c>
      <c r="F6" s="13">
        <v>-47.60592998472769</v>
      </c>
      <c r="G6" s="12">
        <v>-212304653.4446323</v>
      </c>
      <c r="H6" s="13">
        <v>0</v>
      </c>
      <c r="I6" s="11">
        <v>999</v>
      </c>
      <c r="J6" s="11">
        <v>0</v>
      </c>
      <c r="K6" s="10">
        <v>-409659502.5234621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Profit_Loss</vt:lpstr>
      <vt:lpstr>Cash_Flow</vt:lpstr>
      <vt:lpstr>Revenue_Detail</vt:lpstr>
      <vt:lpstr>OPEX_Detail</vt:lpstr>
      <vt:lpstr>CAPEX_Summary</vt:lpstr>
      <vt:lpstr>Scenario_Comparison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2025-10-21T20:01:59Z</dcterms:created>
  <dcterms:modified xsi:type="dcterms:W3CDTF">2025-10-21T20:01:59Z</dcterms:modified>
</cp:coreProperties>
</file>